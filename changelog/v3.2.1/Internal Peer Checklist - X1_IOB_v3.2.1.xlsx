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ftechnologiesmy-my.sharepoint.com/personal/ehoyrul_adftech_com_my/Documents/Documents/Xtec_x1/IOB_v3.2.1/IOB_v3.2.1/Deliverables/"/>
    </mc:Choice>
  </mc:AlternateContent>
  <xr:revisionPtr revIDLastSave="42" documentId="8_{E550AB5C-0E3B-4CCB-95F6-4F7B9A2D2F4D}" xr6:coauthVersionLast="47" xr6:coauthVersionMax="47" xr10:uidLastSave="{7F67C48A-6D42-4BE0-9F06-6ACC7CE3EFA8}"/>
  <bookViews>
    <workbookView xWindow="28680" yWindow="-120" windowWidth="29040" windowHeight="15720" xr2:uid="{E93F942E-1A20-42B3-89F2-22EF63DC9F9B}"/>
  </bookViews>
  <sheets>
    <sheet name="Schematic Checklist" sheetId="1" r:id="rId1"/>
    <sheet name="PCB Checklist" sheetId="3" r:id="rId2"/>
    <sheet name="Figure" sheetId="2" r:id="rId3"/>
  </sheets>
  <definedNames>
    <definedName name="Figure1">'Schematic Checklist'!$A$13</definedName>
    <definedName name="Figure2">'PCB Checklist'!$A$13</definedName>
    <definedName name="Figure3">'Schematic Checklist'!$A$40</definedName>
    <definedName name="Figure4">'PCB Checklist'!$A$34</definedName>
    <definedName name="gototitleblock">'Schematic Checklist'!$A$13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1" i="3" l="1"/>
  <c r="G50" i="3"/>
  <c r="G49" i="3"/>
  <c r="G48" i="3"/>
  <c r="G47" i="3"/>
  <c r="G46" i="3"/>
  <c r="G45" i="3"/>
  <c r="G44" i="3"/>
  <c r="G43" i="3"/>
  <c r="G42" i="3"/>
  <c r="G41" i="3"/>
  <c r="G40" i="3"/>
  <c r="G38" i="3"/>
  <c r="G37" i="3"/>
  <c r="G36" i="3"/>
  <c r="G30" i="3"/>
  <c r="G29" i="3"/>
  <c r="G27" i="3"/>
  <c r="G24" i="3"/>
  <c r="G22" i="3"/>
  <c r="G20" i="3"/>
  <c r="G17" i="3"/>
  <c r="G16" i="3"/>
  <c r="G15" i="3"/>
  <c r="G14" i="3"/>
  <c r="G12" i="3"/>
  <c r="G9" i="3"/>
  <c r="G8" i="3"/>
  <c r="G7" i="3"/>
  <c r="E3" i="3" s="1"/>
  <c r="F8" i="3"/>
  <c r="F9" i="3"/>
  <c r="F12" i="3"/>
  <c r="F14" i="3"/>
  <c r="F15" i="3"/>
  <c r="F16" i="3"/>
  <c r="F17" i="3"/>
  <c r="F20" i="3"/>
  <c r="F22" i="3"/>
  <c r="F24" i="3"/>
  <c r="F26" i="3"/>
  <c r="F28" i="3"/>
  <c r="F30" i="3"/>
  <c r="F36" i="3"/>
  <c r="F38" i="3"/>
  <c r="F40" i="3"/>
  <c r="F41" i="3"/>
  <c r="F42" i="3"/>
  <c r="F43" i="3"/>
  <c r="F44" i="3"/>
  <c r="F45" i="3"/>
  <c r="F46" i="3"/>
  <c r="F47" i="3"/>
  <c r="F48" i="3"/>
  <c r="F49" i="3"/>
  <c r="F50" i="3"/>
  <c r="F51" i="3"/>
  <c r="F7" i="3"/>
  <c r="G8" i="1"/>
  <c r="G9" i="1"/>
  <c r="G12" i="1"/>
  <c r="G14" i="1"/>
  <c r="G15" i="1"/>
  <c r="G16" i="1"/>
  <c r="G17" i="1"/>
  <c r="G18" i="1"/>
  <c r="G20" i="1"/>
  <c r="G21" i="1"/>
  <c r="G22" i="1"/>
  <c r="G23" i="1"/>
  <c r="G24" i="1"/>
  <c r="G25" i="1"/>
  <c r="G27" i="1"/>
  <c r="G28" i="1"/>
  <c r="G29" i="1"/>
  <c r="G30" i="1"/>
  <c r="G34" i="1"/>
  <c r="G36" i="1"/>
  <c r="G37" i="1"/>
  <c r="G42" i="1"/>
  <c r="G43" i="1"/>
  <c r="G44" i="1"/>
  <c r="G45" i="1"/>
  <c r="G46" i="1"/>
  <c r="G47" i="1"/>
  <c r="G7" i="1"/>
  <c r="F12" i="1"/>
  <c r="F14" i="1"/>
  <c r="F15" i="1"/>
  <c r="F16" i="1"/>
  <c r="F17" i="1"/>
  <c r="F18" i="1"/>
  <c r="F20" i="1"/>
  <c r="F21" i="1"/>
  <c r="F22" i="1"/>
  <c r="F23" i="1"/>
  <c r="F24" i="1"/>
  <c r="F25" i="1"/>
  <c r="F27" i="1"/>
  <c r="F28" i="1"/>
  <c r="F29" i="1"/>
  <c r="F30" i="1"/>
  <c r="F33" i="1"/>
  <c r="F35" i="1"/>
  <c r="F37" i="1"/>
  <c r="F42" i="1"/>
  <c r="F43" i="1"/>
  <c r="F44" i="1"/>
  <c r="F45" i="1"/>
  <c r="F46" i="1"/>
  <c r="F47" i="1"/>
  <c r="F8" i="1"/>
  <c r="F9" i="1"/>
  <c r="F7" i="1"/>
  <c r="E1" i="3" l="1"/>
  <c r="E3" i="1"/>
  <c r="E1" i="1"/>
</calcChain>
</file>

<file path=xl/sharedStrings.xml><?xml version="1.0" encoding="utf-8"?>
<sst xmlns="http://schemas.openxmlformats.org/spreadsheetml/2006/main" count="156" uniqueCount="78">
  <si>
    <t>Designer</t>
  </si>
  <si>
    <t>Checker</t>
  </si>
  <si>
    <t>Date</t>
  </si>
  <si>
    <t>Project Name</t>
  </si>
  <si>
    <t>For example: If previous version is IOB_v3.2.0 ,  new version should be IOB_v3.2.1 for minor updates</t>
  </si>
  <si>
    <t>For example: If previous version is IOB_v3.2.0 ,  new version should be IOB_v3.3.0 for major updates</t>
  </si>
  <si>
    <t>Please refer to Version Control pdf document for more details</t>
  </si>
  <si>
    <t>1. Check for the naming of the project. Newer schematic version must be version or revision number up-reved.</t>
  </si>
  <si>
    <t>Click here for title block example</t>
  </si>
  <si>
    <t>Title block example</t>
  </si>
  <si>
    <t>2. Check if the title block is filled up correctly</t>
  </si>
  <si>
    <t>a. Title matches with project name</t>
  </si>
  <si>
    <t>b. Make sure each page or sheet naming matches with actual circuit naming/function</t>
  </si>
  <si>
    <t>c. Date is updated</t>
  </si>
  <si>
    <t>d. Version or revision is updated</t>
  </si>
  <si>
    <t>e. File naming matches with actual file naming in working folder</t>
  </si>
  <si>
    <t>3. If the schematic is an update from previous or existing schematic, check page-by-page to ensure it matches with the old schematic</t>
  </si>
  <si>
    <t>a. All existing components are placed in the new schematic</t>
  </si>
  <si>
    <t>c. Component refdes, value, package type, footprint matches against BOM</t>
  </si>
  <si>
    <t>b. Component refdes, value, package type, footprint matches against old schematic</t>
  </si>
  <si>
    <t>a. Provide latest generated BOM</t>
  </si>
  <si>
    <t>b. Component quantity matches with changes recorded in changelog</t>
  </si>
  <si>
    <t>c. Component refdes, value, package type, footprint matches against changelog</t>
  </si>
  <si>
    <t>d. Any addition or removal must be listed in the schematic changelog</t>
  </si>
  <si>
    <t>4. Latest BOM is required for schematic update involving component addition, removal, replacement or footprint update:</t>
  </si>
  <si>
    <t>Remarks</t>
  </si>
  <si>
    <t>Designer checklist completion</t>
  </si>
  <si>
    <t>Checker checklist completion</t>
  </si>
  <si>
    <t>5. Design sync:</t>
  </si>
  <si>
    <t>a. Designer to generate and verify Electrical Rules Checker(ERC) report</t>
  </si>
  <si>
    <t>b. Checker to check ERC report has 0 Error and verify each Warning</t>
  </si>
  <si>
    <t>c. Any Waived/excluded errors and warning need to have proper comment</t>
  </si>
  <si>
    <t>d. Checker to check each waived/excluded error and warning has relevant comment</t>
  </si>
  <si>
    <t xml:space="preserve">Click here for PCB title block example </t>
  </si>
  <si>
    <t>PCB title block example</t>
  </si>
  <si>
    <t>b. Date is updated</t>
  </si>
  <si>
    <t>c. Version or revision is updated</t>
  </si>
  <si>
    <t>d. File naming matches with actual file naming in working folder</t>
  </si>
  <si>
    <t>e. Circuits and connections are similar with older BOM unless the changes are recorded in the changelog</t>
  </si>
  <si>
    <t>3. Make sure ADF logo is displayed</t>
  </si>
  <si>
    <t>4. Board name and version on bottom of the ADF logo</t>
  </si>
  <si>
    <t>5. DRC report is provided</t>
  </si>
  <si>
    <t>6. Required files for prelim schematic submission</t>
  </si>
  <si>
    <t>b. Changelog document</t>
  </si>
  <si>
    <t>a. Schematic PDF</t>
  </si>
  <si>
    <t>d. Design sync report</t>
  </si>
  <si>
    <t>e. ERC report</t>
  </si>
  <si>
    <t>How to access design sync</t>
  </si>
  <si>
    <t>Update Schematic from PCB</t>
  </si>
  <si>
    <t>Click here to see the screenshot for the update schematic window selection</t>
  </si>
  <si>
    <t>From Kicad&gt;Tools&gt;Update schematic from PCB&gt;check/uncheck the checkboxes for relevant options&gt; go through every and verify that there are no irregularities</t>
  </si>
  <si>
    <t>6. Design sync:</t>
  </si>
  <si>
    <t>b. Checker to check DRC report has 0 Error and verify each Warning</t>
  </si>
  <si>
    <t>e. PCB and Schematic need to be in sync</t>
  </si>
  <si>
    <t>e. Schematic and PCB need to be in sync</t>
  </si>
  <si>
    <t>Update PCB from Schematic</t>
  </si>
  <si>
    <t>Click Here to see the screenshot</t>
  </si>
  <si>
    <t>a. Archive Project</t>
  </si>
  <si>
    <t>b. Final BOM</t>
  </si>
  <si>
    <t>c. Prelim BOM</t>
  </si>
  <si>
    <t>c. DRC Report</t>
  </si>
  <si>
    <t>d. Changelog</t>
  </si>
  <si>
    <t>e. Gerber zip folder</t>
  </si>
  <si>
    <t>e1. Top and Bottom copper layer</t>
  </si>
  <si>
    <t>e2. Top and Bottom silkscreen</t>
  </si>
  <si>
    <t>e3. Top and Bottom solder mask</t>
  </si>
  <si>
    <t>e4. Top and Bottom paste mask</t>
  </si>
  <si>
    <t>e5. PTH and NTPH drill map</t>
  </si>
  <si>
    <t>e6. Drill file (.drl)</t>
  </si>
  <si>
    <t>7. Any update to the PCB is documented in the changelog</t>
  </si>
  <si>
    <t>9. Required files for PCB submission</t>
  </si>
  <si>
    <t>8. Overlay/superimpose old gerber vs old gerber to check and verify if there is any miss or changes</t>
  </si>
  <si>
    <t>YES</t>
  </si>
  <si>
    <t>N/A</t>
  </si>
  <si>
    <t>Umam</t>
  </si>
  <si>
    <t>Xtec-X1 v3.2.1</t>
  </si>
  <si>
    <t>a. Designer to generate and verify Design Rules Checker(DRC) report</t>
  </si>
  <si>
    <t>No error waived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</si>
</sst>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1" xfId="0" applyFill="1" applyBorder="1"/>
    <xf numFmtId="0" fontId="3" fillId="0" borderId="0" xfId="2"/>
    <xf numFmtId="0" fontId="3" fillId="0" borderId="0" xfId="2" applyFill="1"/>
    <xf numFmtId="0" fontId="2" fillId="0" borderId="0" xfId="0" applyFont="1"/>
    <xf numFmtId="0" fontId="0" fillId="3" borderId="1" xfId="0" applyFill="1" applyBorder="1"/>
    <xf numFmtId="0" fontId="4" fillId="0" borderId="0" xfId="0" applyFont="1"/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9" fontId="0" fillId="0" borderId="2" xfId="1" applyFont="1" applyFill="1" applyBorder="1" applyAlignment="1">
      <alignment horizontal="center" vertical="center"/>
    </xf>
    <xf numFmtId="9" fontId="0" fillId="0" borderId="3" xfId="1" applyFont="1" applyFill="1" applyBorder="1" applyAlignment="1">
      <alignment horizontal="center" vertical="center"/>
    </xf>
    <xf numFmtId="14" fontId="0" fillId="3" borderId="1" xfId="0" applyNumberFormat="1" applyFill="1" applyBorder="1"/>
  </cellXfs>
  <cellStyles count="3">
    <cellStyle name="Hyperlink" xfId="2" builtinId="8"/>
    <cellStyle name="Normal" xfId="0" builtinId="0"/>
    <cellStyle name="Percent" xfId="1" builtinId="5"/>
  </cellStyles>
  <dxfs count="45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0</xdr:rowOff>
    </xdr:from>
    <xdr:to>
      <xdr:col>11</xdr:col>
      <xdr:colOff>0</xdr:colOff>
      <xdr:row>16</xdr:row>
      <xdr:rowOff>126129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48E9E3-E52E-2795-631B-283F37B2C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61950"/>
          <a:ext cx="6705599" cy="26597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10</xdr:col>
      <xdr:colOff>219956</xdr:colOff>
      <xdr:row>32</xdr:row>
      <xdr:rowOff>47935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9590E6-D455-C054-8195-8C043FDBE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9500"/>
          <a:ext cx="6315956" cy="221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35</xdr:row>
      <xdr:rowOff>1</xdr:rowOff>
    </xdr:from>
    <xdr:to>
      <xdr:col>9</xdr:col>
      <xdr:colOff>355601</xdr:colOff>
      <xdr:row>58</xdr:row>
      <xdr:rowOff>182821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4D92E9-577B-3DBD-5343-D968A1C11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6445251"/>
          <a:ext cx="5842000" cy="4418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1</xdr:rowOff>
    </xdr:from>
    <xdr:to>
      <xdr:col>9</xdr:col>
      <xdr:colOff>368300</xdr:colOff>
      <xdr:row>92</xdr:row>
      <xdr:rowOff>85161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87072A-99AE-F5CD-4B8A-962455BCD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417301"/>
          <a:ext cx="5854700" cy="5609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8620E-FD3B-4E3C-AAA9-FCBD2D926724}">
  <dimension ref="A1:H47"/>
  <sheetViews>
    <sheetView tabSelected="1" workbookViewId="0">
      <pane ySplit="6" topLeftCell="A7" activePane="bottomLeft" state="frozen"/>
      <selection pane="bottomLeft" activeCell="H36" sqref="H36"/>
    </sheetView>
  </sheetViews>
  <sheetFormatPr defaultRowHeight="14.5" x14ac:dyDescent="0.35"/>
  <cols>
    <col min="1" max="1" width="12.26953125" bestFit="1" customWidth="1"/>
    <col min="2" max="2" width="22" customWidth="1"/>
    <col min="3" max="3" width="97.90625" customWidth="1"/>
    <col min="5" max="5" width="8.7265625" customWidth="1"/>
    <col min="6" max="7" width="8.7265625" hidden="1" customWidth="1"/>
    <col min="8" max="8" width="95.453125" customWidth="1"/>
  </cols>
  <sheetData>
    <row r="1" spans="1:8" x14ac:dyDescent="0.35">
      <c r="A1" t="s">
        <v>0</v>
      </c>
      <c r="B1" s="5" t="s">
        <v>74</v>
      </c>
      <c r="E1" s="9">
        <f>COUNTIF(F7:F47, "1") / COUNTA(F7:F47)</f>
        <v>1</v>
      </c>
      <c r="H1" s="7" t="s">
        <v>26</v>
      </c>
    </row>
    <row r="2" spans="1:8" ht="15" thickBot="1" x14ac:dyDescent="0.4">
      <c r="A2" t="s">
        <v>1</v>
      </c>
      <c r="B2" s="5"/>
      <c r="E2" s="10"/>
      <c r="H2" s="8"/>
    </row>
    <row r="3" spans="1:8" x14ac:dyDescent="0.35">
      <c r="A3" t="s">
        <v>3</v>
      </c>
      <c r="B3" s="5" t="s">
        <v>75</v>
      </c>
      <c r="E3" s="9">
        <f>COUNTIF(G7:G47, "1") / COUNTA(G7:G47)</f>
        <v>0</v>
      </c>
      <c r="H3" s="7" t="s">
        <v>27</v>
      </c>
    </row>
    <row r="4" spans="1:8" ht="15" thickBot="1" x14ac:dyDescent="0.4">
      <c r="A4" t="s">
        <v>2</v>
      </c>
      <c r="B4" s="11">
        <v>46247</v>
      </c>
      <c r="E4" s="10"/>
      <c r="H4" s="8"/>
    </row>
    <row r="6" spans="1:8" x14ac:dyDescent="0.35">
      <c r="D6" s="4" t="s">
        <v>0</v>
      </c>
      <c r="E6" s="4" t="s">
        <v>1</v>
      </c>
      <c r="H6" s="4" t="s">
        <v>25</v>
      </c>
    </row>
    <row r="7" spans="1:8" x14ac:dyDescent="0.35">
      <c r="A7" t="s">
        <v>7</v>
      </c>
      <c r="D7" s="1" t="s">
        <v>72</v>
      </c>
      <c r="E7" s="1"/>
      <c r="F7">
        <f>IF(OR(D7="Yes", D7="N/A"), 1, IF(D7="No", 0, ""))</f>
        <v>1</v>
      </c>
      <c r="G7" t="str">
        <f>IF(OR(E7="Yes", E7="N/A"), 1, IF(E7="No", 0, ""))</f>
        <v/>
      </c>
    </row>
    <row r="8" spans="1:8" x14ac:dyDescent="0.35">
      <c r="A8" t="s">
        <v>4</v>
      </c>
      <c r="D8" s="1" t="s">
        <v>72</v>
      </c>
      <c r="E8" s="1"/>
      <c r="F8">
        <f t="shared" ref="F8:F47" si="0">IF(OR(D8="Yes", D8="N/A"), 1, IF(D8="No", 0, ""))</f>
        <v>1</v>
      </c>
      <c r="G8" t="str">
        <f t="shared" ref="G8:G47" si="1">IF(OR(E8="Yes", E8="N/A"), 1, IF(E8="No", 0, ""))</f>
        <v/>
      </c>
    </row>
    <row r="9" spans="1:8" x14ac:dyDescent="0.35">
      <c r="A9" t="s">
        <v>5</v>
      </c>
      <c r="D9" s="1" t="s">
        <v>73</v>
      </c>
      <c r="E9" s="1"/>
      <c r="F9">
        <f t="shared" si="0"/>
        <v>1</v>
      </c>
      <c r="G9" t="str">
        <f t="shared" si="1"/>
        <v/>
      </c>
    </row>
    <row r="10" spans="1:8" x14ac:dyDescent="0.35">
      <c r="A10" t="s">
        <v>6</v>
      </c>
    </row>
    <row r="12" spans="1:8" x14ac:dyDescent="0.35">
      <c r="A12" t="s">
        <v>10</v>
      </c>
      <c r="D12" s="1" t="s">
        <v>72</v>
      </c>
      <c r="E12" s="1"/>
      <c r="F12">
        <f t="shared" si="0"/>
        <v>1</v>
      </c>
      <c r="G12" t="str">
        <f t="shared" si="1"/>
        <v/>
      </c>
    </row>
    <row r="13" spans="1:8" x14ac:dyDescent="0.35">
      <c r="A13" s="3" t="s">
        <v>8</v>
      </c>
    </row>
    <row r="14" spans="1:8" x14ac:dyDescent="0.35">
      <c r="A14" t="s">
        <v>11</v>
      </c>
      <c r="D14" s="1" t="s">
        <v>72</v>
      </c>
      <c r="E14" s="1"/>
      <c r="F14">
        <f t="shared" si="0"/>
        <v>1</v>
      </c>
      <c r="G14" t="str">
        <f t="shared" si="1"/>
        <v/>
      </c>
    </row>
    <row r="15" spans="1:8" x14ac:dyDescent="0.35">
      <c r="A15" t="s">
        <v>12</v>
      </c>
      <c r="D15" s="1" t="s">
        <v>72</v>
      </c>
      <c r="E15" s="1"/>
      <c r="F15">
        <f t="shared" si="0"/>
        <v>1</v>
      </c>
      <c r="G15" t="str">
        <f t="shared" si="1"/>
        <v/>
      </c>
    </row>
    <row r="16" spans="1:8" x14ac:dyDescent="0.35">
      <c r="A16" t="s">
        <v>13</v>
      </c>
      <c r="D16" s="1" t="s">
        <v>72</v>
      </c>
      <c r="E16" s="1"/>
      <c r="F16">
        <f t="shared" si="0"/>
        <v>1</v>
      </c>
      <c r="G16" t="str">
        <f t="shared" si="1"/>
        <v/>
      </c>
    </row>
    <row r="17" spans="1:7" x14ac:dyDescent="0.35">
      <c r="A17" t="s">
        <v>14</v>
      </c>
      <c r="D17" s="1" t="s">
        <v>72</v>
      </c>
      <c r="E17" s="1"/>
      <c r="F17">
        <f t="shared" si="0"/>
        <v>1</v>
      </c>
      <c r="G17" t="str">
        <f t="shared" si="1"/>
        <v/>
      </c>
    </row>
    <row r="18" spans="1:7" x14ac:dyDescent="0.35">
      <c r="A18" t="s">
        <v>15</v>
      </c>
      <c r="D18" s="1" t="s">
        <v>72</v>
      </c>
      <c r="E18" s="1"/>
      <c r="F18">
        <f t="shared" si="0"/>
        <v>1</v>
      </c>
      <c r="G18" t="str">
        <f t="shared" si="1"/>
        <v/>
      </c>
    </row>
    <row r="20" spans="1:7" x14ac:dyDescent="0.35">
      <c r="A20" t="s">
        <v>16</v>
      </c>
      <c r="D20" s="1" t="s">
        <v>72</v>
      </c>
      <c r="E20" s="1"/>
      <c r="F20">
        <f t="shared" si="0"/>
        <v>1</v>
      </c>
      <c r="G20" t="str">
        <f t="shared" si="1"/>
        <v/>
      </c>
    </row>
    <row r="21" spans="1:7" x14ac:dyDescent="0.35">
      <c r="A21" t="s">
        <v>17</v>
      </c>
      <c r="D21" s="1" t="s">
        <v>72</v>
      </c>
      <c r="E21" s="1"/>
      <c r="F21">
        <f t="shared" si="0"/>
        <v>1</v>
      </c>
      <c r="G21" t="str">
        <f t="shared" si="1"/>
        <v/>
      </c>
    </row>
    <row r="22" spans="1:7" x14ac:dyDescent="0.35">
      <c r="A22" t="s">
        <v>19</v>
      </c>
      <c r="D22" s="1" t="s">
        <v>72</v>
      </c>
      <c r="E22" s="1"/>
      <c r="F22">
        <f t="shared" si="0"/>
        <v>1</v>
      </c>
      <c r="G22" t="str">
        <f t="shared" si="1"/>
        <v/>
      </c>
    </row>
    <row r="23" spans="1:7" x14ac:dyDescent="0.35">
      <c r="A23" t="s">
        <v>18</v>
      </c>
      <c r="D23" s="1" t="s">
        <v>72</v>
      </c>
      <c r="E23" s="1"/>
      <c r="F23">
        <f t="shared" si="0"/>
        <v>1</v>
      </c>
      <c r="G23" t="str">
        <f t="shared" si="1"/>
        <v/>
      </c>
    </row>
    <row r="24" spans="1:7" x14ac:dyDescent="0.35">
      <c r="A24" t="s">
        <v>23</v>
      </c>
      <c r="D24" s="1" t="s">
        <v>72</v>
      </c>
      <c r="E24" s="1"/>
      <c r="F24">
        <f t="shared" si="0"/>
        <v>1</v>
      </c>
      <c r="G24" t="str">
        <f t="shared" si="1"/>
        <v/>
      </c>
    </row>
    <row r="25" spans="1:7" x14ac:dyDescent="0.35">
      <c r="A25" t="s">
        <v>38</v>
      </c>
      <c r="D25" s="1" t="s">
        <v>72</v>
      </c>
      <c r="E25" s="1"/>
      <c r="F25">
        <f t="shared" si="0"/>
        <v>1</v>
      </c>
      <c r="G25" t="str">
        <f t="shared" si="1"/>
        <v/>
      </c>
    </row>
    <row r="27" spans="1:7" x14ac:dyDescent="0.35">
      <c r="A27" t="s">
        <v>24</v>
      </c>
      <c r="D27" s="1" t="s">
        <v>72</v>
      </c>
      <c r="E27" s="1"/>
      <c r="F27">
        <f t="shared" si="0"/>
        <v>1</v>
      </c>
      <c r="G27" t="str">
        <f t="shared" si="1"/>
        <v/>
      </c>
    </row>
    <row r="28" spans="1:7" x14ac:dyDescent="0.35">
      <c r="A28" t="s">
        <v>20</v>
      </c>
      <c r="D28" s="1" t="s">
        <v>72</v>
      </c>
      <c r="E28" s="1"/>
      <c r="F28">
        <f t="shared" si="0"/>
        <v>1</v>
      </c>
      <c r="G28" t="str">
        <f t="shared" si="1"/>
        <v/>
      </c>
    </row>
    <row r="29" spans="1:7" x14ac:dyDescent="0.35">
      <c r="A29" t="s">
        <v>21</v>
      </c>
      <c r="D29" s="1" t="s">
        <v>72</v>
      </c>
      <c r="E29" s="1"/>
      <c r="F29">
        <f t="shared" si="0"/>
        <v>1</v>
      </c>
      <c r="G29" t="str">
        <f t="shared" si="1"/>
        <v/>
      </c>
    </row>
    <row r="30" spans="1:7" x14ac:dyDescent="0.35">
      <c r="A30" t="s">
        <v>22</v>
      </c>
      <c r="D30" s="1" t="s">
        <v>72</v>
      </c>
      <c r="E30" s="1"/>
      <c r="F30">
        <f t="shared" si="0"/>
        <v>1</v>
      </c>
      <c r="G30" t="str">
        <f t="shared" si="1"/>
        <v/>
      </c>
    </row>
    <row r="32" spans="1:7" x14ac:dyDescent="0.35">
      <c r="A32" t="s">
        <v>28</v>
      </c>
    </row>
    <row r="33" spans="1:8" x14ac:dyDescent="0.35">
      <c r="A33" t="s">
        <v>29</v>
      </c>
      <c r="D33" s="1" t="s">
        <v>72</v>
      </c>
      <c r="F33">
        <f t="shared" si="0"/>
        <v>1</v>
      </c>
    </row>
    <row r="34" spans="1:8" x14ac:dyDescent="0.35">
      <c r="A34" t="s">
        <v>30</v>
      </c>
      <c r="E34" s="1"/>
      <c r="G34" t="str">
        <f t="shared" si="1"/>
        <v/>
      </c>
    </row>
    <row r="35" spans="1:8" x14ac:dyDescent="0.35">
      <c r="A35" t="s">
        <v>31</v>
      </c>
      <c r="D35" s="1" t="s">
        <v>73</v>
      </c>
      <c r="F35">
        <f t="shared" si="0"/>
        <v>1</v>
      </c>
      <c r="H35" t="s">
        <v>77</v>
      </c>
    </row>
    <row r="36" spans="1:8" x14ac:dyDescent="0.35">
      <c r="A36" t="s">
        <v>32</v>
      </c>
      <c r="E36" s="1"/>
      <c r="G36" t="str">
        <f t="shared" si="1"/>
        <v/>
      </c>
    </row>
    <row r="37" spans="1:8" x14ac:dyDescent="0.35">
      <c r="A37" t="s">
        <v>54</v>
      </c>
      <c r="D37" s="1" t="s">
        <v>72</v>
      </c>
      <c r="E37" s="1"/>
      <c r="F37">
        <f t="shared" si="0"/>
        <v>1</v>
      </c>
      <c r="G37" t="str">
        <f t="shared" si="1"/>
        <v/>
      </c>
    </row>
    <row r="38" spans="1:8" x14ac:dyDescent="0.35">
      <c r="A38" s="6" t="s">
        <v>47</v>
      </c>
    </row>
    <row r="39" spans="1:8" x14ac:dyDescent="0.35">
      <c r="A39" s="6" t="s">
        <v>50</v>
      </c>
    </row>
    <row r="40" spans="1:8" x14ac:dyDescent="0.35">
      <c r="A40" s="2" t="s">
        <v>49</v>
      </c>
    </row>
    <row r="42" spans="1:8" x14ac:dyDescent="0.35">
      <c r="A42" t="s">
        <v>42</v>
      </c>
      <c r="D42" s="1" t="s">
        <v>72</v>
      </c>
      <c r="E42" s="1"/>
      <c r="F42">
        <f t="shared" si="0"/>
        <v>1</v>
      </c>
      <c r="G42" t="str">
        <f t="shared" si="1"/>
        <v/>
      </c>
    </row>
    <row r="43" spans="1:8" x14ac:dyDescent="0.35">
      <c r="A43" t="s">
        <v>44</v>
      </c>
      <c r="D43" s="1" t="s">
        <v>72</v>
      </c>
      <c r="E43" s="1"/>
      <c r="F43">
        <f t="shared" si="0"/>
        <v>1</v>
      </c>
      <c r="G43" t="str">
        <f t="shared" si="1"/>
        <v/>
      </c>
    </row>
    <row r="44" spans="1:8" x14ac:dyDescent="0.35">
      <c r="A44" t="s">
        <v>43</v>
      </c>
      <c r="D44" s="1" t="s">
        <v>72</v>
      </c>
      <c r="E44" s="1"/>
      <c r="F44">
        <f t="shared" si="0"/>
        <v>1</v>
      </c>
      <c r="G44" t="str">
        <f t="shared" si="1"/>
        <v/>
      </c>
    </row>
    <row r="45" spans="1:8" x14ac:dyDescent="0.35">
      <c r="A45" t="s">
        <v>59</v>
      </c>
      <c r="D45" s="1" t="s">
        <v>72</v>
      </c>
      <c r="E45" s="1"/>
      <c r="F45">
        <f t="shared" si="0"/>
        <v>1</v>
      </c>
      <c r="G45" t="str">
        <f t="shared" si="1"/>
        <v/>
      </c>
    </row>
    <row r="46" spans="1:8" x14ac:dyDescent="0.35">
      <c r="A46" t="s">
        <v>45</v>
      </c>
      <c r="D46" s="1" t="s">
        <v>72</v>
      </c>
      <c r="E46" s="1"/>
      <c r="F46">
        <f t="shared" si="0"/>
        <v>1</v>
      </c>
      <c r="G46" t="str">
        <f t="shared" si="1"/>
        <v/>
      </c>
    </row>
    <row r="47" spans="1:8" x14ac:dyDescent="0.35">
      <c r="A47" t="s">
        <v>46</v>
      </c>
      <c r="D47" s="1" t="s">
        <v>72</v>
      </c>
      <c r="E47" s="1"/>
      <c r="F47">
        <f t="shared" si="0"/>
        <v>1</v>
      </c>
      <c r="G47" t="str">
        <f t="shared" si="1"/>
        <v/>
      </c>
    </row>
  </sheetData>
  <mergeCells count="4">
    <mergeCell ref="H3:H4"/>
    <mergeCell ref="H1:H2"/>
    <mergeCell ref="E1:E2"/>
    <mergeCell ref="E3:E4"/>
  </mergeCells>
  <conditionalFormatting sqref="D2">
    <cfRule type="cellIs" dxfId="44" priority="26" operator="equal">
      <formula>1</formula>
    </cfRule>
  </conditionalFormatting>
  <conditionalFormatting sqref="D4:D1048576">
    <cfRule type="cellIs" dxfId="43" priority="1" operator="equal">
      <formula>"N/A"</formula>
    </cfRule>
    <cfRule type="cellIs" dxfId="42" priority="2" operator="equal">
      <formula>"NO"</formula>
    </cfRule>
    <cfRule type="cellIs" dxfId="41" priority="3" operator="equal">
      <formula>"YES"</formula>
    </cfRule>
  </conditionalFormatting>
  <conditionalFormatting sqref="E1 E3">
    <cfRule type="cellIs" dxfId="40" priority="27" operator="equal">
      <formula>100</formula>
    </cfRule>
    <cfRule type="cellIs" dxfId="39" priority="28" operator="lessThan">
      <formula>100</formula>
    </cfRule>
    <cfRule type="cellIs" dxfId="38" priority="29" operator="equal">
      <formula>1</formula>
    </cfRule>
  </conditionalFormatting>
  <conditionalFormatting sqref="E1:E4">
    <cfRule type="cellIs" dxfId="37" priority="25" operator="equal">
      <formula>1</formula>
    </cfRule>
  </conditionalFormatting>
  <conditionalFormatting sqref="E5:E1048576">
    <cfRule type="cellIs" dxfId="36" priority="7" operator="equal">
      <formula>"N/A"</formula>
    </cfRule>
    <cfRule type="cellIs" dxfId="35" priority="8" operator="equal">
      <formula>"NO"</formula>
    </cfRule>
    <cfRule type="cellIs" dxfId="34" priority="9" operator="equal">
      <formula>"YES"</formula>
    </cfRule>
  </conditionalFormatting>
  <conditionalFormatting sqref="H3">
    <cfRule type="cellIs" dxfId="33" priority="80" operator="equal">
      <formula>"N/A"</formula>
    </cfRule>
    <cfRule type="cellIs" dxfId="32" priority="81" operator="equal">
      <formula>"NO"</formula>
    </cfRule>
    <cfRule type="cellIs" dxfId="31" priority="82" operator="equal">
      <formula>"YES"</formula>
    </cfRule>
  </conditionalFormatting>
  <dataValidations count="1">
    <dataValidation type="list" allowBlank="1" showInputMessage="1" showErrorMessage="1" sqref="D37:E37 D14:E18 D12:E12 D33 E36 D35 D42:E47 E34 D27:E30 D7:E9 D20:E25 E38:E40" xr:uid="{EF400CED-0081-4D05-9F39-EB4B7DE44BBB}">
      <formula1>"YES, NO, N/A"</formula1>
    </dataValidation>
  </dataValidations>
  <hyperlinks>
    <hyperlink ref="A13" location="Figure!A2" display="Click here for title block example" xr:uid="{8DDDB245-DDDE-45D1-934D-959B63FDEC63}"/>
    <hyperlink ref="A40" location="Figure!A35" display="Click here to see the screenshot for the update schematic window selection" xr:uid="{D6C3AD57-6E57-434D-9BE7-BF2D415EE3D9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CF9D-0669-4366-8433-12FAA917A385}">
  <dimension ref="A1:H51"/>
  <sheetViews>
    <sheetView workbookViewId="0">
      <pane ySplit="6" topLeftCell="A7" activePane="bottomLeft" state="frozen"/>
      <selection pane="bottomLeft" activeCell="F1" sqref="F1:G1048576"/>
    </sheetView>
  </sheetViews>
  <sheetFormatPr defaultRowHeight="14.5" x14ac:dyDescent="0.35"/>
  <cols>
    <col min="1" max="1" width="11.81640625" bestFit="1" customWidth="1"/>
    <col min="2" max="2" width="19.26953125" customWidth="1"/>
    <col min="3" max="3" width="97.453125" customWidth="1"/>
    <col min="6" max="7" width="8.7265625" hidden="1" customWidth="1"/>
    <col min="8" max="8" width="25.54296875" customWidth="1"/>
  </cols>
  <sheetData>
    <row r="1" spans="1:8" x14ac:dyDescent="0.35">
      <c r="A1" t="s">
        <v>0</v>
      </c>
      <c r="B1" s="5" t="s">
        <v>74</v>
      </c>
      <c r="E1" s="9">
        <f>COUNTIF(F7:F51, "1") / COUNTA(F7:F51)</f>
        <v>1</v>
      </c>
      <c r="H1" s="7" t="s">
        <v>26</v>
      </c>
    </row>
    <row r="2" spans="1:8" ht="15" thickBot="1" x14ac:dyDescent="0.4">
      <c r="A2" t="s">
        <v>1</v>
      </c>
      <c r="B2" s="5"/>
      <c r="E2" s="10"/>
      <c r="H2" s="8"/>
    </row>
    <row r="3" spans="1:8" x14ac:dyDescent="0.35">
      <c r="A3" t="s">
        <v>3</v>
      </c>
      <c r="B3" s="5" t="s">
        <v>75</v>
      </c>
      <c r="E3" s="9">
        <f>COUNTIF(G7:G51, "1") / COUNTA(G7:G51)</f>
        <v>0</v>
      </c>
      <c r="H3" s="7" t="s">
        <v>27</v>
      </c>
    </row>
    <row r="4" spans="1:8" ht="15" thickBot="1" x14ac:dyDescent="0.4">
      <c r="A4" t="s">
        <v>2</v>
      </c>
      <c r="B4" s="11">
        <v>46247</v>
      </c>
      <c r="E4" s="10"/>
      <c r="H4" s="8"/>
    </row>
    <row r="6" spans="1:8" x14ac:dyDescent="0.35">
      <c r="D6" s="4" t="s">
        <v>0</v>
      </c>
      <c r="E6" s="4" t="s">
        <v>1</v>
      </c>
      <c r="H6" s="4" t="s">
        <v>25</v>
      </c>
    </row>
    <row r="7" spans="1:8" x14ac:dyDescent="0.35">
      <c r="A7" t="s">
        <v>7</v>
      </c>
      <c r="D7" s="1" t="s">
        <v>72</v>
      </c>
      <c r="E7" s="1"/>
      <c r="F7">
        <f>IF(OR(D7="Yes", D7="N/A"), 1, IF(D7="No", 0, ""))</f>
        <v>1</v>
      </c>
      <c r="G7" t="str">
        <f>IF(OR(E7="Yes", E7="N/A"), 1, IF(E7="No", 0, ""))</f>
        <v/>
      </c>
    </row>
    <row r="8" spans="1:8" x14ac:dyDescent="0.35">
      <c r="A8" t="s">
        <v>4</v>
      </c>
      <c r="D8" s="1" t="s">
        <v>72</v>
      </c>
      <c r="E8" s="1"/>
      <c r="F8">
        <f t="shared" ref="F8:G51" si="0">IF(OR(D8="Yes", D8="N/A"), 1, IF(D8="No", 0, ""))</f>
        <v>1</v>
      </c>
      <c r="G8" t="str">
        <f t="shared" si="0"/>
        <v/>
      </c>
    </row>
    <row r="9" spans="1:8" x14ac:dyDescent="0.35">
      <c r="A9" t="s">
        <v>5</v>
      </c>
      <c r="D9" s="1" t="s">
        <v>73</v>
      </c>
      <c r="E9" s="1"/>
      <c r="F9">
        <f t="shared" si="0"/>
        <v>1</v>
      </c>
      <c r="G9" t="str">
        <f t="shared" si="0"/>
        <v/>
      </c>
    </row>
    <row r="10" spans="1:8" x14ac:dyDescent="0.35">
      <c r="A10" t="s">
        <v>6</v>
      </c>
    </row>
    <row r="12" spans="1:8" x14ac:dyDescent="0.35">
      <c r="A12" t="s">
        <v>10</v>
      </c>
      <c r="D12" s="1" t="s">
        <v>72</v>
      </c>
      <c r="E12" s="1"/>
      <c r="F12">
        <f t="shared" si="0"/>
        <v>1</v>
      </c>
      <c r="G12" t="str">
        <f t="shared" si="0"/>
        <v/>
      </c>
    </row>
    <row r="13" spans="1:8" x14ac:dyDescent="0.35">
      <c r="A13" s="3" t="s">
        <v>33</v>
      </c>
    </row>
    <row r="14" spans="1:8" x14ac:dyDescent="0.35">
      <c r="A14" t="s">
        <v>11</v>
      </c>
      <c r="D14" s="1" t="s">
        <v>72</v>
      </c>
      <c r="E14" s="1"/>
      <c r="F14">
        <f t="shared" si="0"/>
        <v>1</v>
      </c>
      <c r="G14" t="str">
        <f t="shared" si="0"/>
        <v/>
      </c>
    </row>
    <row r="15" spans="1:8" x14ac:dyDescent="0.35">
      <c r="A15" t="s">
        <v>35</v>
      </c>
      <c r="D15" s="1" t="s">
        <v>72</v>
      </c>
      <c r="E15" s="1"/>
      <c r="F15">
        <f t="shared" si="0"/>
        <v>1</v>
      </c>
      <c r="G15" t="str">
        <f t="shared" si="0"/>
        <v/>
      </c>
    </row>
    <row r="16" spans="1:8" x14ac:dyDescent="0.35">
      <c r="A16" t="s">
        <v>36</v>
      </c>
      <c r="D16" s="1" t="s">
        <v>72</v>
      </c>
      <c r="E16" s="1"/>
      <c r="F16">
        <f t="shared" si="0"/>
        <v>1</v>
      </c>
      <c r="G16" t="str">
        <f t="shared" si="0"/>
        <v/>
      </c>
    </row>
    <row r="17" spans="1:8" x14ac:dyDescent="0.35">
      <c r="A17" t="s">
        <v>37</v>
      </c>
      <c r="D17" s="1" t="s">
        <v>72</v>
      </c>
      <c r="E17" s="1"/>
      <c r="F17">
        <f t="shared" si="0"/>
        <v>1</v>
      </c>
      <c r="G17" t="str">
        <f t="shared" si="0"/>
        <v/>
      </c>
    </row>
    <row r="20" spans="1:8" x14ac:dyDescent="0.35">
      <c r="A20" t="s">
        <v>39</v>
      </c>
      <c r="D20" s="1" t="s">
        <v>72</v>
      </c>
      <c r="E20" s="1"/>
      <c r="F20">
        <f t="shared" si="0"/>
        <v>1</v>
      </c>
      <c r="G20" t="str">
        <f t="shared" si="0"/>
        <v/>
      </c>
    </row>
    <row r="22" spans="1:8" x14ac:dyDescent="0.35">
      <c r="A22" t="s">
        <v>40</v>
      </c>
      <c r="D22" s="1" t="s">
        <v>72</v>
      </c>
      <c r="E22" s="1"/>
      <c r="F22">
        <f t="shared" si="0"/>
        <v>1</v>
      </c>
      <c r="G22" t="str">
        <f t="shared" si="0"/>
        <v/>
      </c>
    </row>
    <row r="24" spans="1:8" x14ac:dyDescent="0.35">
      <c r="A24" t="s">
        <v>41</v>
      </c>
      <c r="D24" s="1" t="s">
        <v>72</v>
      </c>
      <c r="E24" s="1"/>
      <c r="F24">
        <f t="shared" si="0"/>
        <v>1</v>
      </c>
      <c r="G24" t="str">
        <f t="shared" si="0"/>
        <v/>
      </c>
    </row>
    <row r="26" spans="1:8" x14ac:dyDescent="0.35">
      <c r="A26" t="s">
        <v>51</v>
      </c>
      <c r="D26" s="1" t="s">
        <v>72</v>
      </c>
      <c r="F26">
        <f t="shared" si="0"/>
        <v>1</v>
      </c>
    </row>
    <row r="27" spans="1:8" x14ac:dyDescent="0.35">
      <c r="A27" t="s">
        <v>76</v>
      </c>
      <c r="E27" s="1"/>
      <c r="G27" t="str">
        <f t="shared" si="0"/>
        <v/>
      </c>
    </row>
    <row r="28" spans="1:8" x14ac:dyDescent="0.35">
      <c r="A28" t="s">
        <v>52</v>
      </c>
      <c r="D28" s="1" t="s">
        <v>73</v>
      </c>
      <c r="F28">
        <f t="shared" si="0"/>
        <v>1</v>
      </c>
      <c r="H28" t="s">
        <v>77</v>
      </c>
    </row>
    <row r="29" spans="1:8" x14ac:dyDescent="0.35">
      <c r="A29" t="s">
        <v>31</v>
      </c>
      <c r="E29" s="1"/>
      <c r="G29" t="str">
        <f t="shared" si="0"/>
        <v/>
      </c>
    </row>
    <row r="30" spans="1:8" x14ac:dyDescent="0.35">
      <c r="A30" t="s">
        <v>32</v>
      </c>
      <c r="D30" s="1" t="s">
        <v>72</v>
      </c>
      <c r="E30" s="1"/>
      <c r="F30">
        <f t="shared" si="0"/>
        <v>1</v>
      </c>
      <c r="G30" t="str">
        <f t="shared" si="0"/>
        <v/>
      </c>
    </row>
    <row r="31" spans="1:8" x14ac:dyDescent="0.35">
      <c r="A31" t="s">
        <v>53</v>
      </c>
    </row>
    <row r="32" spans="1:8" x14ac:dyDescent="0.35">
      <c r="A32" s="6" t="s">
        <v>47</v>
      </c>
    </row>
    <row r="33" spans="1:7" x14ac:dyDescent="0.35">
      <c r="A33" s="6" t="s">
        <v>50</v>
      </c>
    </row>
    <row r="34" spans="1:7" x14ac:dyDescent="0.35">
      <c r="A34" s="2" t="s">
        <v>56</v>
      </c>
    </row>
    <row r="35" spans="1:7" x14ac:dyDescent="0.35">
      <c r="A35" s="2"/>
    </row>
    <row r="36" spans="1:7" x14ac:dyDescent="0.35">
      <c r="A36" t="s">
        <v>69</v>
      </c>
      <c r="D36" s="1" t="s">
        <v>72</v>
      </c>
      <c r="E36" s="1"/>
      <c r="F36">
        <f t="shared" si="0"/>
        <v>1</v>
      </c>
      <c r="G36" t="str">
        <f t="shared" si="0"/>
        <v/>
      </c>
    </row>
    <row r="37" spans="1:7" x14ac:dyDescent="0.35">
      <c r="G37" t="str">
        <f t="shared" si="0"/>
        <v/>
      </c>
    </row>
    <row r="38" spans="1:7" x14ac:dyDescent="0.35">
      <c r="A38" t="s">
        <v>71</v>
      </c>
      <c r="D38" s="1" t="s">
        <v>72</v>
      </c>
      <c r="E38" s="1"/>
      <c r="F38">
        <f t="shared" si="0"/>
        <v>1</v>
      </c>
      <c r="G38" t="str">
        <f t="shared" si="0"/>
        <v/>
      </c>
    </row>
    <row r="40" spans="1:7" x14ac:dyDescent="0.35">
      <c r="A40" t="s">
        <v>70</v>
      </c>
      <c r="D40" s="1" t="s">
        <v>72</v>
      </c>
      <c r="E40" s="1"/>
      <c r="F40">
        <f t="shared" si="0"/>
        <v>1</v>
      </c>
      <c r="G40" t="str">
        <f t="shared" si="0"/>
        <v/>
      </c>
    </row>
    <row r="41" spans="1:7" x14ac:dyDescent="0.35">
      <c r="A41" t="s">
        <v>57</v>
      </c>
      <c r="D41" s="1" t="s">
        <v>72</v>
      </c>
      <c r="E41" s="1"/>
      <c r="F41">
        <f t="shared" si="0"/>
        <v>1</v>
      </c>
      <c r="G41" t="str">
        <f t="shared" si="0"/>
        <v/>
      </c>
    </row>
    <row r="42" spans="1:7" x14ac:dyDescent="0.35">
      <c r="A42" t="s">
        <v>58</v>
      </c>
      <c r="D42" s="1" t="s">
        <v>72</v>
      </c>
      <c r="E42" s="1"/>
      <c r="F42">
        <f t="shared" si="0"/>
        <v>1</v>
      </c>
      <c r="G42" t="str">
        <f t="shared" si="0"/>
        <v/>
      </c>
    </row>
    <row r="43" spans="1:7" x14ac:dyDescent="0.35">
      <c r="A43" t="s">
        <v>60</v>
      </c>
      <c r="D43" s="1" t="s">
        <v>72</v>
      </c>
      <c r="E43" s="1"/>
      <c r="F43">
        <f t="shared" si="0"/>
        <v>1</v>
      </c>
      <c r="G43" t="str">
        <f t="shared" si="0"/>
        <v/>
      </c>
    </row>
    <row r="44" spans="1:7" x14ac:dyDescent="0.35">
      <c r="A44" t="s">
        <v>61</v>
      </c>
      <c r="D44" s="1" t="s">
        <v>72</v>
      </c>
      <c r="E44" s="1"/>
      <c r="F44">
        <f t="shared" si="0"/>
        <v>1</v>
      </c>
      <c r="G44" t="str">
        <f t="shared" si="0"/>
        <v/>
      </c>
    </row>
    <row r="45" spans="1:7" x14ac:dyDescent="0.35">
      <c r="A45" t="s">
        <v>62</v>
      </c>
      <c r="D45" s="1" t="s">
        <v>72</v>
      </c>
      <c r="E45" s="1"/>
      <c r="F45">
        <f t="shared" si="0"/>
        <v>1</v>
      </c>
      <c r="G45" t="str">
        <f t="shared" si="0"/>
        <v/>
      </c>
    </row>
    <row r="46" spans="1:7" x14ac:dyDescent="0.35">
      <c r="B46" t="s">
        <v>63</v>
      </c>
      <c r="D46" s="1" t="s">
        <v>72</v>
      </c>
      <c r="E46" s="1"/>
      <c r="F46">
        <f t="shared" si="0"/>
        <v>1</v>
      </c>
      <c r="G46" t="str">
        <f t="shared" si="0"/>
        <v/>
      </c>
    </row>
    <row r="47" spans="1:7" x14ac:dyDescent="0.35">
      <c r="B47" t="s">
        <v>64</v>
      </c>
      <c r="D47" s="1" t="s">
        <v>72</v>
      </c>
      <c r="E47" s="1"/>
      <c r="F47">
        <f t="shared" si="0"/>
        <v>1</v>
      </c>
      <c r="G47" t="str">
        <f t="shared" si="0"/>
        <v/>
      </c>
    </row>
    <row r="48" spans="1:7" x14ac:dyDescent="0.35">
      <c r="B48" t="s">
        <v>65</v>
      </c>
      <c r="D48" s="1" t="s">
        <v>72</v>
      </c>
      <c r="E48" s="1"/>
      <c r="F48">
        <f t="shared" si="0"/>
        <v>1</v>
      </c>
      <c r="G48" t="str">
        <f t="shared" si="0"/>
        <v/>
      </c>
    </row>
    <row r="49" spans="2:7" x14ac:dyDescent="0.35">
      <c r="B49" t="s">
        <v>66</v>
      </c>
      <c r="D49" s="1" t="s">
        <v>72</v>
      </c>
      <c r="E49" s="1"/>
      <c r="F49">
        <f t="shared" si="0"/>
        <v>1</v>
      </c>
      <c r="G49" t="str">
        <f t="shared" si="0"/>
        <v/>
      </c>
    </row>
    <row r="50" spans="2:7" x14ac:dyDescent="0.35">
      <c r="B50" t="s">
        <v>67</v>
      </c>
      <c r="D50" s="1" t="s">
        <v>72</v>
      </c>
      <c r="E50" s="1"/>
      <c r="F50">
        <f t="shared" si="0"/>
        <v>1</v>
      </c>
      <c r="G50" t="str">
        <f t="shared" si="0"/>
        <v/>
      </c>
    </row>
    <row r="51" spans="2:7" x14ac:dyDescent="0.35">
      <c r="B51" t="s">
        <v>68</v>
      </c>
      <c r="D51" s="1" t="s">
        <v>72</v>
      </c>
      <c r="E51" s="1"/>
      <c r="F51">
        <f t="shared" si="0"/>
        <v>1</v>
      </c>
      <c r="G51" t="str">
        <f t="shared" si="0"/>
        <v/>
      </c>
    </row>
  </sheetData>
  <mergeCells count="4">
    <mergeCell ref="E1:E2"/>
    <mergeCell ref="H1:H2"/>
    <mergeCell ref="E3:E4"/>
    <mergeCell ref="H3:H4"/>
  </mergeCells>
  <conditionalFormatting sqref="D2">
    <cfRule type="cellIs" dxfId="30" priority="78" operator="equal">
      <formula>1</formula>
    </cfRule>
  </conditionalFormatting>
  <conditionalFormatting sqref="D20:E20">
    <cfRule type="cellIs" dxfId="29" priority="68" operator="equal">
      <formula>"N/A"</formula>
    </cfRule>
    <cfRule type="cellIs" dxfId="28" priority="69" operator="equal">
      <formula>"NO"</formula>
    </cfRule>
    <cfRule type="cellIs" dxfId="27" priority="70" operator="equal">
      <formula>"YES"</formula>
    </cfRule>
  </conditionalFormatting>
  <conditionalFormatting sqref="D22:E22">
    <cfRule type="cellIs" dxfId="26" priority="65" operator="equal">
      <formula>"N/A"</formula>
    </cfRule>
    <cfRule type="cellIs" dxfId="25" priority="66" operator="equal">
      <formula>"NO"</formula>
    </cfRule>
    <cfRule type="cellIs" dxfId="24" priority="67" operator="equal">
      <formula>"YES"</formula>
    </cfRule>
  </conditionalFormatting>
  <conditionalFormatting sqref="D24:E24">
    <cfRule type="cellIs" dxfId="23" priority="62" operator="equal">
      <formula>"N/A"</formula>
    </cfRule>
    <cfRule type="cellIs" dxfId="22" priority="63" operator="equal">
      <formula>"NO"</formula>
    </cfRule>
    <cfRule type="cellIs" dxfId="21" priority="64" operator="equal">
      <formula>"YES"</formula>
    </cfRule>
  </conditionalFormatting>
  <conditionalFormatting sqref="D26:E30">
    <cfRule type="cellIs" dxfId="20" priority="53" operator="equal">
      <formula>"N/A"</formula>
    </cfRule>
    <cfRule type="cellIs" dxfId="19" priority="54" operator="equal">
      <formula>"NO"</formula>
    </cfRule>
    <cfRule type="cellIs" dxfId="18" priority="55" operator="equal">
      <formula>"YES"</formula>
    </cfRule>
  </conditionalFormatting>
  <conditionalFormatting sqref="D36:E36">
    <cfRule type="cellIs" dxfId="17" priority="11" operator="equal">
      <formula>"N/A"</formula>
    </cfRule>
    <cfRule type="cellIs" dxfId="16" priority="12" operator="equal">
      <formula>"NO"</formula>
    </cfRule>
    <cfRule type="cellIs" dxfId="15" priority="13" operator="equal">
      <formula>"YES"</formula>
    </cfRule>
  </conditionalFormatting>
  <conditionalFormatting sqref="D38:E38">
    <cfRule type="cellIs" dxfId="14" priority="8" operator="equal">
      <formula>"N/A"</formula>
    </cfRule>
    <cfRule type="cellIs" dxfId="13" priority="9" operator="equal">
      <formula>"NO"</formula>
    </cfRule>
    <cfRule type="cellIs" dxfId="12" priority="10" operator="equal">
      <formula>"YES"</formula>
    </cfRule>
  </conditionalFormatting>
  <conditionalFormatting sqref="D40:E51">
    <cfRule type="cellIs" dxfId="11" priority="14" operator="equal">
      <formula>"N/A"</formula>
    </cfRule>
    <cfRule type="cellIs" dxfId="10" priority="15" operator="equal">
      <formula>"NO"</formula>
    </cfRule>
    <cfRule type="cellIs" dxfId="9" priority="16" operator="equal">
      <formula>"YES"</formula>
    </cfRule>
  </conditionalFormatting>
  <conditionalFormatting sqref="E1">
    <cfRule type="cellIs" dxfId="8" priority="5" operator="equal">
      <formula>100</formula>
    </cfRule>
    <cfRule type="cellIs" dxfId="7" priority="6" operator="lessThan">
      <formula>100</formula>
    </cfRule>
    <cfRule type="cellIs" dxfId="6" priority="7" operator="equal">
      <formula>1</formula>
    </cfRule>
  </conditionalFormatting>
  <conditionalFormatting sqref="E1:E4">
    <cfRule type="cellIs" dxfId="5" priority="3" operator="equal">
      <formula>1</formula>
    </cfRule>
  </conditionalFormatting>
  <conditionalFormatting sqref="E3">
    <cfRule type="cellIs" dxfId="4" priority="1" operator="equal">
      <formula>100</formula>
    </cfRule>
    <cfRule type="cellIs" dxfId="3" priority="2" operator="lessThan">
      <formula>100</formula>
    </cfRule>
  </conditionalFormatting>
  <conditionalFormatting sqref="H3 D4:D17 E5:E17">
    <cfRule type="cellIs" dxfId="2" priority="82" operator="equal">
      <formula>"N/A"</formula>
    </cfRule>
    <cfRule type="cellIs" dxfId="1" priority="83" operator="equal">
      <formula>"NO"</formula>
    </cfRule>
    <cfRule type="cellIs" dxfId="0" priority="84" operator="equal">
      <formula>"YES"</formula>
    </cfRule>
  </conditionalFormatting>
  <dataValidations count="1">
    <dataValidation type="list" allowBlank="1" showInputMessage="1" showErrorMessage="1" sqref="D38:E38 D36:E36 D40:E51 E29 E27 D30:E30 D24:E24 D26 D22:E22 D28 D20:E20 D14:E17 D7:E9 D12:E12" xr:uid="{603A2DC1-0457-45C6-B552-8DC606D67E1A}">
      <formula1>"YES, NO, N/A"</formula1>
    </dataValidation>
  </dataValidations>
  <hyperlinks>
    <hyperlink ref="A13" location="Figure!A20" display="Click here for PCB title block example " xr:uid="{EF27D983-D807-4869-B60B-ED0F78A065CA}"/>
    <hyperlink ref="A34" location="Figure!A62" display="Click Here to see the screenshot" xr:uid="{E0F6AA13-BB3A-431B-843E-4FF367F5135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6011-EB82-4853-A768-2E38FAD03FAF}">
  <dimension ref="A2:A62"/>
  <sheetViews>
    <sheetView topLeftCell="A32" zoomScale="85" zoomScaleNormal="85" workbookViewId="0">
      <selection activeCell="A62" sqref="A62"/>
    </sheetView>
  </sheetViews>
  <sheetFormatPr defaultRowHeight="14.5" x14ac:dyDescent="0.35"/>
  <sheetData>
    <row r="2" spans="1:1" x14ac:dyDescent="0.35">
      <c r="A2" s="2" t="s">
        <v>9</v>
      </c>
    </row>
    <row r="20" spans="1:1" x14ac:dyDescent="0.35">
      <c r="A20" s="2" t="s">
        <v>34</v>
      </c>
    </row>
    <row r="35" spans="1:1" x14ac:dyDescent="0.35">
      <c r="A35" s="2" t="s">
        <v>48</v>
      </c>
    </row>
    <row r="62" spans="1:1" x14ac:dyDescent="0.35">
      <c r="A62" s="2" t="s">
        <v>55</v>
      </c>
    </row>
  </sheetData>
  <hyperlinks>
    <hyperlink ref="A2" location="Figure1" display="Title block example" xr:uid="{68ADC075-07CF-48F1-887F-67B0C230715E}"/>
    <hyperlink ref="A20" location="Figure2" display="PCB title block example" xr:uid="{5ACE9BD1-4BB2-43A9-882D-1B9935CD6409}"/>
    <hyperlink ref="A35" location="Figure3" display="Update Schematic from PCB" xr:uid="{80AB9968-C02B-4674-B911-1EEE4F23D296}"/>
    <hyperlink ref="A62" location="Figure4" display="Update PCB from Schematic" xr:uid="{E5BE8006-7EED-4696-AAD7-FDCFE7BCDCE4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Schematic Checklist</vt:lpstr>
      <vt:lpstr>PCB Checklist</vt:lpstr>
      <vt:lpstr>Figure</vt:lpstr>
      <vt:lpstr>Figure1</vt:lpstr>
      <vt:lpstr>Figure2</vt:lpstr>
      <vt:lpstr>Figure3</vt:lpstr>
      <vt:lpstr>Figure4</vt:lpstr>
      <vt:lpstr>gototitleblock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Ehoyrul Umam Bin Tahlan</dc:creator>
  <cp:lastModifiedBy>Ehoyrul Umam Bin Tahlan</cp:lastModifiedBy>
  <dcterms:created xsi:type="dcterms:W3CDTF">2026-08-10T01:10:41Z</dcterms:created>
  <dcterms:modified xsi:type="dcterms:W3CDTF">2026-08-13T08:35:20Z</dcterms:modified>
</cp:coreProperties>
</file>